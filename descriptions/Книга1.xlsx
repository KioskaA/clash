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rry\Documents\CODING\DB\descriptions\"/>
    </mc:Choice>
  </mc:AlternateContent>
  <bookViews>
    <workbookView xWindow="0" yWindow="0" windowWidth="25200" windowHeight="114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4" i="1" l="1"/>
  <c r="G64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H36" i="1"/>
  <c r="G36" i="1"/>
  <c r="E65" i="1"/>
  <c r="F65" i="1"/>
  <c r="I65" i="1"/>
  <c r="J65" i="1"/>
  <c r="K65" i="1"/>
  <c r="D65" i="1"/>
  <c r="H35" i="1"/>
  <c r="G35" i="1"/>
  <c r="G65" i="1" l="1"/>
  <c r="H65" i="1"/>
  <c r="F19" i="1"/>
  <c r="O19" i="1"/>
</calcChain>
</file>

<file path=xl/sharedStrings.xml><?xml version="1.0" encoding="utf-8"?>
<sst xmlns="http://schemas.openxmlformats.org/spreadsheetml/2006/main" count="35" uniqueCount="33">
  <si>
    <t>#2V2LRCL</t>
  </si>
  <si>
    <t>Abobus</t>
  </si>
  <si>
    <t>True</t>
  </si>
  <si>
    <t>Final statistics</t>
  </si>
  <si>
    <t>Tag</t>
  </si>
  <si>
    <t>Name</t>
  </si>
  <si>
    <t>Clan Games</t>
  </si>
  <si>
    <t>Raids</t>
  </si>
  <si>
    <t>CC contributions</t>
  </si>
  <si>
    <t>Days offline</t>
  </si>
  <si>
    <t>Capital contibutions</t>
  </si>
  <si>
    <t>CWL participation</t>
  </si>
  <si>
    <t>CWL attacks</t>
  </si>
  <si>
    <t>CW paricipated</t>
  </si>
  <si>
    <t>CW missed</t>
  </si>
  <si>
    <t>CW ratio</t>
  </si>
  <si>
    <t>Raid attacks ratio</t>
  </si>
  <si>
    <t>…</t>
  </si>
  <si>
    <t>Upgrades started</t>
  </si>
  <si>
    <t>Тег</t>
  </si>
  <si>
    <t>дата</t>
  </si>
  <si>
    <t>ИК</t>
  </si>
  <si>
    <t>войска</t>
  </si>
  <si>
    <t>дал</t>
  </si>
  <si>
    <t>получил</t>
  </si>
  <si>
    <t>улучшения</t>
  </si>
  <si>
    <t>золото столицы</t>
  </si>
  <si>
    <t>кв</t>
  </si>
  <si>
    <t>рейды</t>
  </si>
  <si>
    <t>атаки</t>
  </si>
  <si>
    <t>лвк</t>
  </si>
  <si>
    <t>№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</si>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</sst>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3" fontId="0" fillId="0" borderId="0" xfId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3" fontId="0" fillId="0" borderId="4" xfId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65"/>
  <sheetViews>
    <sheetView tabSelected="1" topLeftCell="A28" workbookViewId="0">
      <selection activeCell="D36" sqref="D36"/>
    </sheetView>
  </sheetViews>
  <sheetFormatPr defaultColWidth="12.7109375" defaultRowHeight="15" x14ac:dyDescent="0.25"/>
  <cols>
    <col min="1" max="16384" width="12.7109375" style="2"/>
  </cols>
  <sheetData>
    <row r="17" spans="1:15" x14ac:dyDescent="0.25">
      <c r="B17" s="13" t="s">
        <v>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</row>
    <row r="18" spans="1:15" s="1" customFormat="1" ht="30" customHeight="1" x14ac:dyDescent="0.25">
      <c r="B18" s="10" t="s">
        <v>4</v>
      </c>
      <c r="C18" s="11" t="s">
        <v>5</v>
      </c>
      <c r="D18" s="11" t="s">
        <v>6</v>
      </c>
      <c r="E18" s="11" t="s">
        <v>7</v>
      </c>
      <c r="F18" s="11" t="s">
        <v>16</v>
      </c>
      <c r="G18" s="11" t="s">
        <v>8</v>
      </c>
      <c r="H18" s="11" t="s">
        <v>18</v>
      </c>
      <c r="I18" s="11" t="s">
        <v>9</v>
      </c>
      <c r="J18" s="11" t="s">
        <v>10</v>
      </c>
      <c r="K18" s="11" t="s">
        <v>11</v>
      </c>
      <c r="L18" s="11" t="s">
        <v>12</v>
      </c>
      <c r="M18" s="11" t="s">
        <v>14</v>
      </c>
      <c r="N18" s="11" t="s">
        <v>13</v>
      </c>
      <c r="O18" s="12" t="s">
        <v>15</v>
      </c>
    </row>
    <row r="19" spans="1:15" x14ac:dyDescent="0.25">
      <c r="B19" s="3" t="s">
        <v>0</v>
      </c>
      <c r="C19" s="4" t="s">
        <v>1</v>
      </c>
      <c r="D19" s="4">
        <v>10000</v>
      </c>
      <c r="E19" s="4">
        <v>4</v>
      </c>
      <c r="F19" s="5">
        <f>24/(E19*6)</f>
        <v>1</v>
      </c>
      <c r="G19" s="4">
        <v>1870</v>
      </c>
      <c r="H19" s="4">
        <v>18</v>
      </c>
      <c r="I19" s="4">
        <v>1</v>
      </c>
      <c r="J19" s="4">
        <v>32500</v>
      </c>
      <c r="K19" s="4" t="s">
        <v>2</v>
      </c>
      <c r="L19" s="4">
        <v>7</v>
      </c>
      <c r="M19" s="4">
        <v>0</v>
      </c>
      <c r="N19" s="4">
        <v>9</v>
      </c>
      <c r="O19" s="6">
        <f>N19/9</f>
        <v>1</v>
      </c>
    </row>
    <row r="20" spans="1:15" x14ac:dyDescent="0.25">
      <c r="B20" s="7" t="s">
        <v>17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32" spans="1:15" x14ac:dyDescent="0.25">
      <c r="A32" s="4"/>
      <c r="B32" s="13" t="s">
        <v>19</v>
      </c>
      <c r="C32" s="14"/>
      <c r="D32" s="14"/>
      <c r="E32" s="14"/>
      <c r="F32" s="14"/>
      <c r="G32" s="14"/>
      <c r="H32" s="14"/>
      <c r="I32" s="14"/>
      <c r="J32" s="14"/>
      <c r="K32" s="15"/>
    </row>
    <row r="33" spans="1:11" x14ac:dyDescent="0.25">
      <c r="B33" s="26" t="s">
        <v>31</v>
      </c>
      <c r="C33" s="16" t="s">
        <v>20</v>
      </c>
      <c r="D33" s="16" t="s">
        <v>21</v>
      </c>
      <c r="E33" s="25" t="s">
        <v>25</v>
      </c>
      <c r="F33" s="17" t="s">
        <v>26</v>
      </c>
      <c r="G33" s="16" t="s">
        <v>22</v>
      </c>
      <c r="H33" s="16"/>
      <c r="I33" s="4" t="s">
        <v>28</v>
      </c>
      <c r="J33" s="4" t="s">
        <v>27</v>
      </c>
      <c r="K33" s="18" t="s">
        <v>30</v>
      </c>
    </row>
    <row r="34" spans="1:11" x14ac:dyDescent="0.25">
      <c r="B34" s="27"/>
      <c r="C34" s="19"/>
      <c r="D34" s="19"/>
      <c r="E34" s="23"/>
      <c r="F34" s="20"/>
      <c r="G34" s="8" t="s">
        <v>23</v>
      </c>
      <c r="H34" s="8" t="s">
        <v>24</v>
      </c>
      <c r="I34" s="8" t="s">
        <v>29</v>
      </c>
      <c r="J34" s="8" t="s">
        <v>29</v>
      </c>
      <c r="K34" s="9" t="s">
        <v>29</v>
      </c>
    </row>
    <row r="35" spans="1:11" x14ac:dyDescent="0.25">
      <c r="B35" s="28">
        <v>1</v>
      </c>
      <c r="C35" s="24">
        <v>46087</v>
      </c>
      <c r="D35" s="21">
        <v>0</v>
      </c>
      <c r="E35" s="22">
        <v>0</v>
      </c>
      <c r="F35" s="21">
        <v>500</v>
      </c>
      <c r="G35" s="21">
        <f ca="1">RANDBETWEEN(0,100)</f>
        <v>63</v>
      </c>
      <c r="H35" s="21">
        <f ca="1">RANDBETWEEN(0,100)</f>
        <v>20</v>
      </c>
      <c r="I35" s="21">
        <v>6</v>
      </c>
      <c r="J35" s="21">
        <v>0</v>
      </c>
      <c r="K35" s="22">
        <v>1</v>
      </c>
    </row>
    <row r="36" spans="1:11" x14ac:dyDescent="0.25">
      <c r="A36" s="4"/>
      <c r="B36" s="29">
        <v>2</v>
      </c>
      <c r="C36" s="31">
        <v>46086</v>
      </c>
      <c r="D36" s="4">
        <v>0</v>
      </c>
      <c r="E36" s="18">
        <v>1</v>
      </c>
      <c r="F36" s="4">
        <v>500</v>
      </c>
      <c r="G36" s="4">
        <f ca="1">RANDBETWEEN(0,100)</f>
        <v>54</v>
      </c>
      <c r="H36" s="4">
        <f ca="1">RANDBETWEEN(0,100)</f>
        <v>98</v>
      </c>
      <c r="I36" s="4">
        <v>0</v>
      </c>
      <c r="J36" s="4">
        <v>0</v>
      </c>
      <c r="K36" s="18">
        <v>1</v>
      </c>
    </row>
    <row r="37" spans="1:11" x14ac:dyDescent="0.25">
      <c r="A37" s="4"/>
      <c r="B37" s="29">
        <v>3</v>
      </c>
      <c r="C37" s="31">
        <v>46085</v>
      </c>
      <c r="D37" s="4">
        <v>0</v>
      </c>
      <c r="E37" s="18">
        <v>0</v>
      </c>
      <c r="F37" s="4">
        <v>500</v>
      </c>
      <c r="G37" s="4">
        <f t="shared" ref="G37:H63" ca="1" si="0">RANDBETWEEN(0,100)</f>
        <v>31</v>
      </c>
      <c r="H37" s="4">
        <f t="shared" ca="1" si="0"/>
        <v>49</v>
      </c>
      <c r="I37" s="4">
        <v>0</v>
      </c>
      <c r="J37" s="4">
        <v>0</v>
      </c>
      <c r="K37" s="18">
        <v>1</v>
      </c>
    </row>
    <row r="38" spans="1:11" x14ac:dyDescent="0.25">
      <c r="A38" s="4"/>
      <c r="B38" s="29">
        <v>4</v>
      </c>
      <c r="C38" s="31">
        <v>46084</v>
      </c>
      <c r="D38" s="4">
        <v>0</v>
      </c>
      <c r="E38" s="18">
        <v>0</v>
      </c>
      <c r="F38" s="4">
        <v>500</v>
      </c>
      <c r="G38" s="4">
        <f t="shared" ca="1" si="0"/>
        <v>77</v>
      </c>
      <c r="H38" s="4">
        <f t="shared" ca="1" si="0"/>
        <v>57</v>
      </c>
      <c r="I38" s="4">
        <v>0</v>
      </c>
      <c r="J38" s="4">
        <v>0</v>
      </c>
      <c r="K38" s="18">
        <v>0</v>
      </c>
    </row>
    <row r="39" spans="1:11" x14ac:dyDescent="0.25">
      <c r="A39" s="4"/>
      <c r="B39" s="29">
        <v>5</v>
      </c>
      <c r="C39" s="31">
        <v>46083</v>
      </c>
      <c r="D39" s="4">
        <v>0</v>
      </c>
      <c r="E39" s="18">
        <v>1</v>
      </c>
      <c r="F39" s="4">
        <v>500</v>
      </c>
      <c r="G39" s="4">
        <f t="shared" ca="1" si="0"/>
        <v>14</v>
      </c>
      <c r="H39" s="4">
        <f t="shared" ca="1" si="0"/>
        <v>39</v>
      </c>
      <c r="I39" s="4">
        <v>0</v>
      </c>
      <c r="J39" s="4">
        <v>2</v>
      </c>
      <c r="K39" s="18">
        <v>0</v>
      </c>
    </row>
    <row r="40" spans="1:11" x14ac:dyDescent="0.25">
      <c r="A40" s="4"/>
      <c r="B40" s="29">
        <v>6</v>
      </c>
      <c r="C40" s="31">
        <v>46082</v>
      </c>
      <c r="D40" s="4">
        <v>0</v>
      </c>
      <c r="E40" s="18">
        <v>0</v>
      </c>
      <c r="F40" s="4">
        <v>500</v>
      </c>
      <c r="G40" s="4">
        <f t="shared" ca="1" si="0"/>
        <v>45</v>
      </c>
      <c r="H40" s="4">
        <f t="shared" ca="1" si="0"/>
        <v>11</v>
      </c>
      <c r="I40" s="4">
        <v>0</v>
      </c>
      <c r="J40" s="4"/>
      <c r="K40" s="18">
        <v>0</v>
      </c>
    </row>
    <row r="41" spans="1:11" x14ac:dyDescent="0.25">
      <c r="A41" s="4"/>
      <c r="B41" s="29">
        <v>7</v>
      </c>
      <c r="C41" s="31">
        <v>46081</v>
      </c>
      <c r="D41" s="4">
        <v>0</v>
      </c>
      <c r="E41" s="18">
        <v>0</v>
      </c>
      <c r="F41" s="4">
        <v>500</v>
      </c>
      <c r="G41" s="4">
        <f t="shared" ca="1" si="0"/>
        <v>77</v>
      </c>
      <c r="H41" s="4">
        <f t="shared" ca="1" si="0"/>
        <v>32</v>
      </c>
      <c r="I41" s="4">
        <v>0</v>
      </c>
      <c r="J41" s="4">
        <v>2</v>
      </c>
      <c r="K41" s="18">
        <v>0</v>
      </c>
    </row>
    <row r="42" spans="1:11" x14ac:dyDescent="0.25">
      <c r="A42" s="4"/>
      <c r="B42" s="29">
        <v>8</v>
      </c>
      <c r="C42" s="31">
        <v>46080</v>
      </c>
      <c r="D42" s="4">
        <v>0</v>
      </c>
      <c r="E42" s="18">
        <v>1</v>
      </c>
      <c r="F42" s="4">
        <v>500</v>
      </c>
      <c r="G42" s="4">
        <f t="shared" ca="1" si="0"/>
        <v>81</v>
      </c>
      <c r="H42" s="4">
        <f t="shared" ca="1" si="0"/>
        <v>14</v>
      </c>
      <c r="I42" s="4">
        <v>6</v>
      </c>
      <c r="J42" s="4"/>
      <c r="K42" s="18">
        <v>0</v>
      </c>
    </row>
    <row r="43" spans="1:11" x14ac:dyDescent="0.25">
      <c r="A43" s="4"/>
      <c r="B43" s="29">
        <v>9</v>
      </c>
      <c r="C43" s="31">
        <v>46079</v>
      </c>
      <c r="D43" s="4">
        <v>10000</v>
      </c>
      <c r="E43" s="18">
        <v>1</v>
      </c>
      <c r="F43" s="4">
        <v>500</v>
      </c>
      <c r="G43" s="4">
        <f t="shared" ca="1" si="0"/>
        <v>62</v>
      </c>
      <c r="H43" s="4">
        <f t="shared" ca="1" si="0"/>
        <v>52</v>
      </c>
      <c r="I43" s="4">
        <v>0</v>
      </c>
      <c r="J43" s="4">
        <v>2</v>
      </c>
      <c r="K43" s="18">
        <v>0</v>
      </c>
    </row>
    <row r="44" spans="1:11" x14ac:dyDescent="0.25">
      <c r="A44" s="4"/>
      <c r="B44" s="29">
        <v>10</v>
      </c>
      <c r="C44" s="31">
        <v>46078</v>
      </c>
      <c r="D44" s="4">
        <v>0</v>
      </c>
      <c r="E44" s="18">
        <v>0</v>
      </c>
      <c r="F44" s="4">
        <v>500</v>
      </c>
      <c r="G44" s="4">
        <f t="shared" ca="1" si="0"/>
        <v>16</v>
      </c>
      <c r="H44" s="4">
        <f t="shared" ca="1" si="0"/>
        <v>48</v>
      </c>
      <c r="I44" s="4">
        <v>0</v>
      </c>
      <c r="J44" s="4"/>
      <c r="K44" s="18">
        <v>0</v>
      </c>
    </row>
    <row r="45" spans="1:11" x14ac:dyDescent="0.25">
      <c r="A45" s="4"/>
      <c r="B45" s="29">
        <v>11</v>
      </c>
      <c r="C45" s="31">
        <v>46077</v>
      </c>
      <c r="D45" s="4">
        <v>0</v>
      </c>
      <c r="E45" s="18">
        <v>1</v>
      </c>
      <c r="F45" s="4">
        <v>500</v>
      </c>
      <c r="G45" s="4">
        <f t="shared" ca="1" si="0"/>
        <v>96</v>
      </c>
      <c r="H45" s="4">
        <f t="shared" ca="1" si="0"/>
        <v>49</v>
      </c>
      <c r="I45" s="4">
        <v>0</v>
      </c>
      <c r="J45" s="4">
        <v>2</v>
      </c>
      <c r="K45" s="18">
        <v>0</v>
      </c>
    </row>
    <row r="46" spans="1:11" x14ac:dyDescent="0.25">
      <c r="A46" s="4"/>
      <c r="B46" s="29">
        <v>12</v>
      </c>
      <c r="C46" s="31">
        <v>46076</v>
      </c>
      <c r="D46" s="4">
        <v>0</v>
      </c>
      <c r="E46" s="18">
        <v>1</v>
      </c>
      <c r="F46" s="4">
        <v>500</v>
      </c>
      <c r="G46" s="4">
        <f t="shared" ca="1" si="0"/>
        <v>33</v>
      </c>
      <c r="H46" s="4">
        <f t="shared" ca="1" si="0"/>
        <v>43</v>
      </c>
      <c r="I46" s="4">
        <v>0</v>
      </c>
      <c r="J46" s="4"/>
      <c r="K46" s="18">
        <v>0</v>
      </c>
    </row>
    <row r="47" spans="1:11" x14ac:dyDescent="0.25">
      <c r="A47" s="4"/>
      <c r="B47" s="29">
        <v>13</v>
      </c>
      <c r="C47" s="31">
        <v>46075</v>
      </c>
      <c r="D47" s="4">
        <v>0</v>
      </c>
      <c r="E47" s="18">
        <v>1</v>
      </c>
      <c r="F47" s="4">
        <v>500</v>
      </c>
      <c r="G47" s="4">
        <f t="shared" ca="1" si="0"/>
        <v>29</v>
      </c>
      <c r="H47" s="4">
        <f t="shared" ca="1" si="0"/>
        <v>48</v>
      </c>
      <c r="I47" s="4">
        <v>0</v>
      </c>
      <c r="J47" s="4">
        <v>2</v>
      </c>
      <c r="K47" s="18">
        <v>0</v>
      </c>
    </row>
    <row r="48" spans="1:11" x14ac:dyDescent="0.25">
      <c r="A48" s="4"/>
      <c r="B48" s="29">
        <v>14</v>
      </c>
      <c r="C48" s="31">
        <v>46074</v>
      </c>
      <c r="D48" s="4">
        <v>0</v>
      </c>
      <c r="E48" s="18">
        <v>1</v>
      </c>
      <c r="F48" s="4">
        <v>500</v>
      </c>
      <c r="G48" s="4">
        <f t="shared" ca="1" si="0"/>
        <v>32</v>
      </c>
      <c r="H48" s="4">
        <f t="shared" ca="1" si="0"/>
        <v>83</v>
      </c>
      <c r="I48" s="4">
        <v>0</v>
      </c>
      <c r="J48" s="4"/>
      <c r="K48" s="18">
        <v>0</v>
      </c>
    </row>
    <row r="49" spans="1:11" x14ac:dyDescent="0.25">
      <c r="A49" s="4"/>
      <c r="B49" s="29">
        <v>15</v>
      </c>
      <c r="C49" s="31">
        <v>46073</v>
      </c>
      <c r="D49" s="4">
        <v>0</v>
      </c>
      <c r="E49" s="18">
        <v>0</v>
      </c>
      <c r="F49" s="4">
        <v>500</v>
      </c>
      <c r="G49" s="4">
        <f t="shared" ca="1" si="0"/>
        <v>44</v>
      </c>
      <c r="H49" s="4">
        <f t="shared" ca="1" si="0"/>
        <v>20</v>
      </c>
      <c r="I49" s="4">
        <v>6</v>
      </c>
      <c r="J49" s="4">
        <v>2</v>
      </c>
      <c r="K49" s="18">
        <v>0</v>
      </c>
    </row>
    <row r="50" spans="1:11" x14ac:dyDescent="0.25">
      <c r="A50" s="4"/>
      <c r="B50" s="29">
        <v>16</v>
      </c>
      <c r="C50" s="31">
        <v>46072</v>
      </c>
      <c r="D50" s="4">
        <v>0</v>
      </c>
      <c r="E50" s="18">
        <v>0</v>
      </c>
      <c r="F50" s="4">
        <v>500</v>
      </c>
      <c r="G50" s="4">
        <f t="shared" ca="1" si="0"/>
        <v>5</v>
      </c>
      <c r="H50" s="4">
        <f t="shared" ca="1" si="0"/>
        <v>28</v>
      </c>
      <c r="I50" s="4">
        <v>0</v>
      </c>
      <c r="J50" s="4"/>
      <c r="K50" s="18">
        <v>0</v>
      </c>
    </row>
    <row r="51" spans="1:11" x14ac:dyDescent="0.25">
      <c r="A51" s="4"/>
      <c r="B51" s="29">
        <v>17</v>
      </c>
      <c r="C51" s="31">
        <v>46071</v>
      </c>
      <c r="D51" s="4">
        <v>0</v>
      </c>
      <c r="E51" s="18">
        <v>2</v>
      </c>
      <c r="F51" s="4">
        <v>500</v>
      </c>
      <c r="G51" s="4">
        <f t="shared" ca="1" si="0"/>
        <v>51</v>
      </c>
      <c r="H51" s="4">
        <f t="shared" ca="1" si="0"/>
        <v>86</v>
      </c>
      <c r="I51" s="4">
        <v>0</v>
      </c>
      <c r="J51" s="4">
        <v>2</v>
      </c>
      <c r="K51" s="18">
        <v>0</v>
      </c>
    </row>
    <row r="52" spans="1:11" x14ac:dyDescent="0.25">
      <c r="B52" s="29">
        <v>18</v>
      </c>
      <c r="C52" s="31">
        <v>46070</v>
      </c>
      <c r="D52" s="4">
        <v>0</v>
      </c>
      <c r="E52" s="18">
        <v>1</v>
      </c>
      <c r="F52" s="4">
        <v>500</v>
      </c>
      <c r="G52" s="4">
        <f t="shared" ca="1" si="0"/>
        <v>74</v>
      </c>
      <c r="H52" s="4">
        <f t="shared" ca="1" si="0"/>
        <v>63</v>
      </c>
      <c r="I52" s="4">
        <v>0</v>
      </c>
      <c r="J52" s="4"/>
      <c r="K52" s="18">
        <v>0</v>
      </c>
    </row>
    <row r="53" spans="1:11" x14ac:dyDescent="0.25">
      <c r="B53" s="29">
        <v>19</v>
      </c>
      <c r="C53" s="31">
        <v>46069</v>
      </c>
      <c r="D53" s="4">
        <v>0</v>
      </c>
      <c r="E53" s="18">
        <v>0</v>
      </c>
      <c r="F53" s="4">
        <v>500</v>
      </c>
      <c r="G53" s="4">
        <f t="shared" ca="1" si="0"/>
        <v>71</v>
      </c>
      <c r="H53" s="4">
        <f t="shared" ca="1" si="0"/>
        <v>96</v>
      </c>
      <c r="I53" s="4">
        <v>0</v>
      </c>
      <c r="J53" s="4">
        <v>2</v>
      </c>
      <c r="K53" s="18">
        <v>0</v>
      </c>
    </row>
    <row r="54" spans="1:11" x14ac:dyDescent="0.25">
      <c r="B54" s="29">
        <v>20</v>
      </c>
      <c r="C54" s="31">
        <v>46068</v>
      </c>
      <c r="D54" s="4">
        <v>0</v>
      </c>
      <c r="E54" s="18">
        <v>1</v>
      </c>
      <c r="F54" s="4">
        <v>500</v>
      </c>
      <c r="G54" s="4">
        <f t="shared" ca="1" si="0"/>
        <v>6</v>
      </c>
      <c r="H54" s="4">
        <f t="shared" ca="1" si="0"/>
        <v>37</v>
      </c>
      <c r="I54" s="4">
        <v>0</v>
      </c>
      <c r="J54" s="4"/>
      <c r="K54" s="18">
        <v>0</v>
      </c>
    </row>
    <row r="55" spans="1:11" x14ac:dyDescent="0.25">
      <c r="B55" s="29">
        <v>21</v>
      </c>
      <c r="C55" s="31">
        <v>46067</v>
      </c>
      <c r="D55" s="4">
        <v>0</v>
      </c>
      <c r="E55" s="18">
        <v>1</v>
      </c>
      <c r="F55" s="4">
        <v>500</v>
      </c>
      <c r="G55" s="4">
        <f t="shared" ca="1" si="0"/>
        <v>13</v>
      </c>
      <c r="H55" s="4">
        <f t="shared" ca="1" si="0"/>
        <v>66</v>
      </c>
      <c r="I55" s="4">
        <v>0</v>
      </c>
      <c r="J55" s="4">
        <v>2</v>
      </c>
      <c r="K55" s="18">
        <v>0</v>
      </c>
    </row>
    <row r="56" spans="1:11" x14ac:dyDescent="0.25">
      <c r="B56" s="29">
        <v>22</v>
      </c>
      <c r="C56" s="31">
        <v>46066</v>
      </c>
      <c r="D56" s="4">
        <v>0</v>
      </c>
      <c r="E56" s="18">
        <v>1</v>
      </c>
      <c r="F56" s="4">
        <v>500</v>
      </c>
      <c r="G56" s="4">
        <f t="shared" ca="1" si="0"/>
        <v>8</v>
      </c>
      <c r="H56" s="4">
        <f t="shared" ca="1" si="0"/>
        <v>76</v>
      </c>
      <c r="I56" s="4">
        <v>6</v>
      </c>
      <c r="J56" s="4"/>
      <c r="K56" s="18">
        <v>0</v>
      </c>
    </row>
    <row r="57" spans="1:11" x14ac:dyDescent="0.25">
      <c r="B57" s="29">
        <v>23</v>
      </c>
      <c r="C57" s="31">
        <v>46065</v>
      </c>
      <c r="D57" s="4">
        <v>0</v>
      </c>
      <c r="E57" s="18">
        <v>3</v>
      </c>
      <c r="F57" s="4">
        <v>500</v>
      </c>
      <c r="G57" s="4">
        <f t="shared" ca="1" si="0"/>
        <v>14</v>
      </c>
      <c r="H57" s="4">
        <f t="shared" ca="1" si="0"/>
        <v>5</v>
      </c>
      <c r="I57" s="4">
        <v>0</v>
      </c>
      <c r="J57" s="4">
        <v>2</v>
      </c>
      <c r="K57" s="18">
        <v>0</v>
      </c>
    </row>
    <row r="58" spans="1:11" x14ac:dyDescent="0.25">
      <c r="B58" s="29">
        <v>24</v>
      </c>
      <c r="C58" s="31">
        <v>46064</v>
      </c>
      <c r="D58" s="4">
        <v>0</v>
      </c>
      <c r="E58" s="18">
        <v>0</v>
      </c>
      <c r="F58" s="4">
        <v>500</v>
      </c>
      <c r="G58" s="4">
        <f t="shared" ca="1" si="0"/>
        <v>63</v>
      </c>
      <c r="H58" s="4">
        <f t="shared" ca="1" si="0"/>
        <v>30</v>
      </c>
      <c r="I58" s="4">
        <v>0</v>
      </c>
      <c r="J58" s="4"/>
      <c r="K58" s="18">
        <v>0</v>
      </c>
    </row>
    <row r="59" spans="1:11" x14ac:dyDescent="0.25">
      <c r="B59" s="29">
        <v>25</v>
      </c>
      <c r="C59" s="31">
        <v>46063</v>
      </c>
      <c r="D59" s="4">
        <v>0</v>
      </c>
      <c r="E59" s="18">
        <v>0</v>
      </c>
      <c r="F59" s="4">
        <v>500</v>
      </c>
      <c r="G59" s="4">
        <f t="shared" ca="1" si="0"/>
        <v>5</v>
      </c>
      <c r="H59" s="4">
        <f t="shared" ca="1" si="0"/>
        <v>60</v>
      </c>
      <c r="I59" s="4">
        <v>0</v>
      </c>
      <c r="J59" s="4">
        <v>2</v>
      </c>
      <c r="K59" s="18">
        <v>0</v>
      </c>
    </row>
    <row r="60" spans="1:11" x14ac:dyDescent="0.25">
      <c r="B60" s="29">
        <v>26</v>
      </c>
      <c r="C60" s="31">
        <v>46062</v>
      </c>
      <c r="D60" s="4">
        <v>0</v>
      </c>
      <c r="E60" s="18">
        <v>1</v>
      </c>
      <c r="F60" s="4">
        <v>500</v>
      </c>
      <c r="G60" s="4">
        <f t="shared" ca="1" si="0"/>
        <v>1</v>
      </c>
      <c r="H60" s="4">
        <f t="shared" ca="1" si="0"/>
        <v>82</v>
      </c>
      <c r="I60" s="4">
        <v>0</v>
      </c>
      <c r="J60" s="4"/>
      <c r="K60" s="18">
        <v>0</v>
      </c>
    </row>
    <row r="61" spans="1:11" x14ac:dyDescent="0.25">
      <c r="B61" s="29">
        <v>27</v>
      </c>
      <c r="C61" s="31">
        <v>46061</v>
      </c>
      <c r="D61" s="4">
        <v>0</v>
      </c>
      <c r="E61" s="18">
        <v>0</v>
      </c>
      <c r="F61" s="4">
        <v>500</v>
      </c>
      <c r="G61" s="4">
        <f t="shared" ca="1" si="0"/>
        <v>24</v>
      </c>
      <c r="H61" s="4">
        <f t="shared" ca="1" si="0"/>
        <v>51</v>
      </c>
      <c r="I61" s="4">
        <v>0</v>
      </c>
      <c r="J61" s="4">
        <v>0</v>
      </c>
      <c r="K61" s="18">
        <v>1</v>
      </c>
    </row>
    <row r="62" spans="1:11" x14ac:dyDescent="0.25">
      <c r="B62" s="29">
        <v>28</v>
      </c>
      <c r="C62" s="31">
        <v>46060</v>
      </c>
      <c r="D62" s="4">
        <v>0</v>
      </c>
      <c r="E62" s="18">
        <v>0</v>
      </c>
      <c r="F62" s="4">
        <v>500</v>
      </c>
      <c r="G62" s="4">
        <f t="shared" ca="1" si="0"/>
        <v>87</v>
      </c>
      <c r="H62" s="4">
        <f t="shared" ca="1" si="0"/>
        <v>80</v>
      </c>
      <c r="I62" s="4">
        <v>0</v>
      </c>
      <c r="J62" s="4">
        <v>0</v>
      </c>
      <c r="K62" s="18">
        <v>1</v>
      </c>
    </row>
    <row r="63" spans="1:11" x14ac:dyDescent="0.25">
      <c r="B63" s="29">
        <v>29</v>
      </c>
      <c r="C63" s="31">
        <v>46059</v>
      </c>
      <c r="D63" s="4">
        <v>0</v>
      </c>
      <c r="E63" s="18">
        <v>3</v>
      </c>
      <c r="F63" s="4">
        <v>500</v>
      </c>
      <c r="G63" s="4">
        <f t="shared" ca="1" si="0"/>
        <v>15</v>
      </c>
      <c r="H63" s="4">
        <f t="shared" ca="1" si="0"/>
        <v>51</v>
      </c>
      <c r="I63" s="4">
        <v>6</v>
      </c>
      <c r="J63" s="4">
        <v>0</v>
      </c>
      <c r="K63" s="18">
        <v>1</v>
      </c>
    </row>
    <row r="64" spans="1:11" x14ac:dyDescent="0.25">
      <c r="B64" s="30">
        <v>30</v>
      </c>
      <c r="C64" s="32">
        <v>46058</v>
      </c>
      <c r="D64" s="8">
        <v>0</v>
      </c>
      <c r="E64" s="9">
        <v>0</v>
      </c>
      <c r="F64" s="8">
        <v>500</v>
      </c>
      <c r="G64" s="8">
        <f ca="1">RANDBETWEEN(0,100)</f>
        <v>43</v>
      </c>
      <c r="H64" s="8">
        <f ca="1">RANDBETWEEN(0,100)</f>
        <v>52</v>
      </c>
      <c r="I64" s="8">
        <v>0</v>
      </c>
      <c r="J64" s="8">
        <v>0</v>
      </c>
      <c r="K64" s="9">
        <v>1</v>
      </c>
    </row>
    <row r="65" spans="3:11" x14ac:dyDescent="0.25">
      <c r="C65" s="2" t="s">
        <v>32</v>
      </c>
      <c r="D65" s="2">
        <f>SUM(D35:D64)</f>
        <v>10000</v>
      </c>
      <c r="E65" s="2">
        <f t="shared" ref="E65:K65" si="1">SUM(E35:E64)</f>
        <v>21</v>
      </c>
      <c r="F65" s="2">
        <f t="shared" si="1"/>
        <v>15000</v>
      </c>
      <c r="G65" s="2">
        <f t="shared" ca="1" si="1"/>
        <v>1234</v>
      </c>
      <c r="H65" s="2">
        <f t="shared" ca="1" si="1"/>
        <v>1526</v>
      </c>
      <c r="I65" s="2">
        <f t="shared" si="1"/>
        <v>30</v>
      </c>
      <c r="J65" s="2">
        <f t="shared" si="1"/>
        <v>22</v>
      </c>
      <c r="K65" s="2">
        <f t="shared" si="1"/>
        <v>7</v>
      </c>
    </row>
  </sheetData>
  <mergeCells count="8">
    <mergeCell ref="B17:O17"/>
    <mergeCell ref="C33:C34"/>
    <mergeCell ref="D33:D34"/>
    <mergeCell ref="G33:H33"/>
    <mergeCell ref="E33:E34"/>
    <mergeCell ref="F33:F34"/>
    <mergeCell ref="B32:K32"/>
    <mergeCell ref="B33:B34"/>
  </mergeCells>
  <conditionalFormatting sqref="C35:C64">
    <cfRule type="expression" dxfId="0" priority="1">
      <formula>WEEKDAY(C35,2)&gt;5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Артур 1</dc:creator>
  <cp:lastModifiedBy>Артур 1</cp:lastModifiedBy>
  <dcterms:created xsi:type="dcterms:W3CDTF">2026-02-23T15:22:25Z</dcterms:created>
  <dcterms:modified xsi:type="dcterms:W3CDTF">2026-03-06T16:19:22Z</dcterms:modified>
</cp:coreProperties>
</file>